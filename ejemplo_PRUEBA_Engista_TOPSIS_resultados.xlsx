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01_Decision" sheetId="2" r:id="rId2"/>
    <sheet name="02_Normalizada" sheetId="3" r:id="rId3"/>
    <sheet name="03_Ponderada" sheetId="4" r:id="rId4"/>
    <sheet name="Resultad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44.83203125" customWidth="1"/>
    <col min="2" max="2" width="70.83203125" customWidth="1"/>
  </cols>
  <sheetData>
    <row r="1">
      <c r="A1" t="str">
        <v>Éngista TOPSIS</v>
      </c>
    </row>
    <row r="2">
      <c r="A2" t="str">
        <v>Resultados del método TOPSIS</v>
      </c>
    </row>
    <row r="4">
      <c r="A4" t="str">
        <v>Objetivo</v>
      </c>
      <c r="B4" t="str">
        <v>[Datos de prueba] Seleccionar proveedor de equipos</v>
      </c>
    </row>
    <row r="5">
      <c r="A5" t="str">
        <v>Origen de los datos</v>
      </c>
      <c r="B5" t="str">
        <v>Datos de prueba generados por la aplicación (Prueba 1: seleccionar proveedor (3 alternativas, 4 criterios)); no provienen de expertos</v>
      </c>
    </row>
    <row r="6">
      <c r="A6" t="str">
        <v>Normalización</v>
      </c>
      <c r="B6" t="str">
        <v>Vectorial</v>
      </c>
    </row>
    <row r="7">
      <c r="A7" t="str">
        <v>Método de pesos</v>
      </c>
      <c r="B7" t="str">
        <v>Manuales</v>
      </c>
    </row>
    <row r="8">
      <c r="A8" t="str">
        <v>Fecha del cálculo</v>
      </c>
      <c r="B8" t="str">
        <v>12/9/2026, 6:50:12 p. m.</v>
      </c>
    </row>
    <row r="9">
      <c r="A9" t="str">
        <v>Número de alternativas</v>
      </c>
      <c r="B9" s="1">
        <v>3</v>
      </c>
    </row>
    <row r="10">
      <c r="A10" t="str">
        <v>Número de criterios</v>
      </c>
      <c r="B10" s="1">
        <v>4</v>
      </c>
    </row>
    <row r="11">
      <c r="A11" t="str">
        <v>Alternativa recomendada</v>
      </c>
      <c r="B11" t="str">
        <v>Proveedor C</v>
      </c>
    </row>
    <row r="12">
      <c r="A12" t="str">
        <v>Coeficiente de cercanía de la recomendada</v>
      </c>
      <c r="B12" s="2">
        <v>0.5760118960966796</v>
      </c>
    </row>
    <row r="14">
      <c r="A14" t="str">
        <v>Contenido del libro</v>
      </c>
    </row>
    <row r="15">
      <c r="A15" t="str">
        <v>Hoja</v>
      </c>
      <c r="B15" t="str">
        <v>Contenido</v>
      </c>
    </row>
    <row r="16">
      <c r="A16" t="str">
        <v>01_Decision</v>
      </c>
      <c r="B16" t="str">
        <v>Matriz de decisión, tipos de criterio y pesos</v>
      </c>
    </row>
    <row r="17">
      <c r="A17" t="str">
        <v>02_Normalizada</v>
      </c>
      <c r="B17" t="str">
        <v>Matriz normalizada con fórmulas de Excel</v>
      </c>
    </row>
    <row r="18">
      <c r="A18" t="str">
        <v>03_Ponderada</v>
      </c>
      <c r="B18" t="str">
        <v>Matriz ponderada, soluciones ideales y distancias</v>
      </c>
    </row>
    <row r="19">
      <c r="A19" t="str">
        <v>Resultado</v>
      </c>
      <c r="B19" t="str">
        <v>Coeficiente de cercanía y ranking final</v>
      </c>
    </row>
    <row r="21">
      <c r="A21" t="str">
        <v>Software</v>
      </c>
      <c r="B21" t="str">
        <v>Éngista TOPSIS versión 1.0</v>
      </c>
    </row>
    <row r="22">
      <c r="A22" t="str">
        <v>Autor</v>
      </c>
      <c r="B22" t="str">
        <v>Mario Sergio Gómez Rueda</v>
      </c>
    </row>
    <row r="23">
      <c r="A23" t="str">
        <v>Contacto</v>
      </c>
      <c r="B23" t="str">
        <v>mgomezr1@gmail.com</v>
      </c>
    </row>
    <row r="24">
      <c r="A24" t="str">
        <v>Nota</v>
      </c>
      <c r="B24" t="str">
        <v>Este aplicativo fue desarrollado por Mario Sergio Gómez Rueda. Su uso es de carácter académico y cualquier otro uso se regirá por el derecho de la propiedad intelectual. Sugerencias o dudas: mgomezr1@gmail.com</v>
      </c>
    </row>
    <row r="25">
      <c r="A25" t="str">
        <v>Advertencia</v>
      </c>
      <c r="B25" t="str">
        <v>Datos de prueba generados por la aplicación; no provienen de expertos.</v>
      </c>
    </row>
  </sheetData>
  <hyperlinks>
    <hyperlink ref="A16" location="'01_Decision'!A1" tooltip="Ir a la hoja"/>
    <hyperlink ref="A17" location="'02_Normalizada'!A1" tooltip="Ir a la hoja"/>
    <hyperlink ref="A18" location="'03_Ponderada'!A1" tooltip="Ir a la hoja"/>
    <hyperlink ref="A19" location="'Resultado'!A1" tooltip="Ir a la hoja"/>
  </hyperlinks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6.83203125" customWidth="1"/>
    <col min="2" max="2" width="12.83203125" customWidth="1"/>
    <col min="3" max="3" width="12.83203125" customWidth="1"/>
    <col min="4" max="4" width="18.83203125" customWidth="1"/>
    <col min="5" max="5" width="22.83203125" customWidth="1"/>
  </cols>
  <sheetData>
    <row r="1">
      <c r="A1" t="str">
        <v>Matriz de decisión</v>
      </c>
    </row>
    <row r="2">
      <c r="A2" t="str">
        <v>Volver al menú</v>
      </c>
    </row>
    <row r="4">
      <c r="A4" t="str">
        <v>Alternativa \ Criterio</v>
      </c>
      <c r="B4" t="str">
        <v>Precio</v>
      </c>
      <c r="C4" t="str">
        <v>Calidad</v>
      </c>
      <c r="D4" t="str">
        <v>Garantia (meses)</v>
      </c>
      <c r="E4" t="str">
        <v>Tiempo de entrega (dias)</v>
      </c>
    </row>
    <row r="5">
      <c r="A5" t="str">
        <v>Proveedor A</v>
      </c>
      <c r="B5" s="2">
        <v>1200</v>
      </c>
      <c r="C5" s="2">
        <v>8</v>
      </c>
      <c r="D5" s="2">
        <v>24</v>
      </c>
      <c r="E5" s="2">
        <v>15</v>
      </c>
    </row>
    <row r="6">
      <c r="A6" t="str">
        <v>Proveedor B</v>
      </c>
      <c r="B6" s="2">
        <v>1000</v>
      </c>
      <c r="C6" s="2">
        <v>7</v>
      </c>
      <c r="D6" s="2">
        <v>12</v>
      </c>
      <c r="E6" s="2">
        <v>10</v>
      </c>
    </row>
    <row r="7">
      <c r="A7" t="str">
        <v>Proveedor C</v>
      </c>
      <c r="B7" s="2">
        <v>1400</v>
      </c>
      <c r="C7" s="2">
        <v>9</v>
      </c>
      <c r="D7" s="2">
        <v>36</v>
      </c>
      <c r="E7" s="2">
        <v>20</v>
      </c>
    </row>
    <row r="8">
      <c r="A8" t="str">
        <v>Tipo de criterio</v>
      </c>
      <c r="B8" t="str">
        <v>Costo</v>
      </c>
      <c r="C8" t="str">
        <v>Beneficio</v>
      </c>
      <c r="D8" t="str">
        <v>Beneficio</v>
      </c>
      <c r="E8" t="str">
        <v>Costo</v>
      </c>
    </row>
    <row r="9">
      <c r="A9" t="str">
        <v>Peso</v>
      </c>
      <c r="B9" s="3">
        <v>0.4</v>
      </c>
      <c r="C9" s="3">
        <v>0.3</v>
      </c>
      <c r="D9" s="3">
        <v>0.2</v>
      </c>
      <c r="E9" s="3">
        <v>0.1</v>
      </c>
    </row>
    <row r="10">
      <c r="A10" t="str">
        <v>Suma de pesos</v>
      </c>
      <c r="B10" s="3">
        <f>SUM(B9:E9)</f>
        <v>0.9999999999999999</v>
      </c>
    </row>
    <row r="12">
      <c r="A12" t="str">
        <v>Normalización: Vectorial. Pesos: Manuales.</v>
      </c>
    </row>
  </sheetData>
  <hyperlinks>
    <hyperlink ref="A2" location="'Menu'!A1" tooltip="Ir al menú"/>
  </hyperlinks>
  <ignoredErrors>
    <ignoredError numberStoredAsText="1" sqref="A1:E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Matriz normalizada (Vectorial)</v>
      </c>
    </row>
    <row r="2">
      <c r="A2" t="str">
        <v>Volver al menú</v>
      </c>
    </row>
    <row r="4">
      <c r="A4" t="str">
        <v>Alternativa \ Criterio</v>
      </c>
      <c r="B4" t="str">
        <v>Precio</v>
      </c>
      <c r="C4" t="str">
        <v>Calidad</v>
      </c>
      <c r="D4" t="str">
        <v>Garantia (meses)</v>
      </c>
      <c r="E4" t="str">
        <v>Tiempo de entrega (dias)</v>
      </c>
    </row>
    <row r="5">
      <c r="A5" t="str">
        <v>Proveedor A</v>
      </c>
      <c r="B5" s="2">
        <f>'01_Decision'!B5/SQRT(SUMSQ('01_Decision'!B5:B7))</f>
        <v>0.5720775535473553</v>
      </c>
      <c r="C5" s="2">
        <f>'01_Decision'!C5/SQRT(SUMSQ('01_Decision'!C5:C7))</f>
        <v>0.5743665268941905</v>
      </c>
      <c r="D5" s="2">
        <f>'01_Decision'!D5/SQRT(SUMSQ('01_Decision'!D5:D7))</f>
        <v>0.5345224838248488</v>
      </c>
      <c r="E5" s="2">
        <f>'01_Decision'!E5/SQRT(SUMSQ('01_Decision'!E5:E7))</f>
        <v>0.5570860145311556</v>
      </c>
    </row>
    <row r="6">
      <c r="A6" t="str">
        <v>Proveedor B</v>
      </c>
      <c r="B6" s="2">
        <f>'01_Decision'!B6/SQRT(SUMSQ('01_Decision'!B5:B7))</f>
        <v>0.4767312946227961</v>
      </c>
      <c r="C6" s="2">
        <f>'01_Decision'!C6/SQRT(SUMSQ('01_Decision'!C5:C7))</f>
        <v>0.5025707110324167</v>
      </c>
      <c r="D6" s="2">
        <f>'01_Decision'!D6/SQRT(SUMSQ('01_Decision'!D5:D7))</f>
        <v>0.2672612419124244</v>
      </c>
      <c r="E6" s="2">
        <f>'01_Decision'!E6/SQRT(SUMSQ('01_Decision'!E5:E7))</f>
        <v>0.3713906763541037</v>
      </c>
    </row>
    <row r="7">
      <c r="A7" t="str">
        <v>Proveedor C</v>
      </c>
      <c r="B7" s="2">
        <f>'01_Decision'!B7/SQRT(SUMSQ('01_Decision'!B5:B7))</f>
        <v>0.6674238124719146</v>
      </c>
      <c r="C7" s="2">
        <f>'01_Decision'!C7/SQRT(SUMSQ('01_Decision'!C5:C7))</f>
        <v>0.6461623427559643</v>
      </c>
      <c r="D7" s="2">
        <f>'01_Decision'!D7/SQRT(SUMSQ('01_Decision'!D5:D7))</f>
        <v>0.8017837257372732</v>
      </c>
      <c r="E7" s="2">
        <f>'01_Decision'!E7/SQRT(SUMSQ('01_Decision'!E5:E7))</f>
        <v>0.7427813527082074</v>
      </c>
    </row>
    <row r="9">
      <c r="A9" t="str">
        <v>Normalización vectorial: cada valor se divide por la raíz de la suma de cuadrados de su columna.</v>
      </c>
    </row>
  </sheetData>
  <hyperlinks>
    <hyperlink ref="A2" location="'Menu'!A1" tooltip="Ir al menú"/>
  </hyperlinks>
  <ignoredErrors>
    <ignoredError numberStoredAsText="1" sqref="A1:E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26.83203125" customWidth="1"/>
    <col min="2" max="2" width="20.83203125" customWidth="1"/>
    <col min="3" max="3" width="22.83203125" customWidth="1"/>
    <col min="4" max="4" width="24.83203125" customWidth="1"/>
    <col min="5" max="5" width="16.83203125" customWidth="1"/>
  </cols>
  <sheetData>
    <row r="1">
      <c r="A1" t="str">
        <v>Matriz ponderada, soluciones ideales y distancias</v>
      </c>
    </row>
    <row r="2">
      <c r="A2" t="str">
        <v>Volver al menú</v>
      </c>
    </row>
    <row r="3">
      <c r="A3" t="str">
        <v>A. Matriz ponderada (V = normalizada × peso)</v>
      </c>
    </row>
    <row r="4">
      <c r="A4" t="str">
        <v>Alternativa \ Criterio</v>
      </c>
      <c r="B4" t="str">
        <v>Precio</v>
      </c>
      <c r="C4" t="str">
        <v>Calidad</v>
      </c>
      <c r="D4" t="str">
        <v>Garantia (meses)</v>
      </c>
      <c r="E4" t="str">
        <v>Tiempo de entrega (dias)</v>
      </c>
    </row>
    <row r="5">
      <c r="A5" t="str">
        <v>Proveedor A</v>
      </c>
      <c r="B5" s="2">
        <f>'02_Normalizada'!B5*'01_Decision'!B9</f>
        <v>0.22883102141894215</v>
      </c>
      <c r="C5" s="2">
        <f>'02_Normalizada'!C5*'01_Decision'!C9</f>
        <v>0.17230995806825716</v>
      </c>
      <c r="D5" s="2">
        <f>'02_Normalizada'!D5*'01_Decision'!D9</f>
        <v>0.10690449676496977</v>
      </c>
      <c r="E5" s="2">
        <f>'02_Normalizada'!E5*'01_Decision'!E9</f>
        <v>0.05570860145311556</v>
      </c>
    </row>
    <row r="6">
      <c r="A6" t="str">
        <v>Proveedor B</v>
      </c>
      <c r="B6" s="2">
        <f>'02_Normalizada'!B6*'01_Decision'!B9</f>
        <v>0.19069251784911845</v>
      </c>
      <c r="C6" s="2">
        <f>'02_Normalizada'!C6*'01_Decision'!C9</f>
        <v>0.150771213309725</v>
      </c>
      <c r="D6" s="2">
        <f>'02_Normalizada'!D6*'01_Decision'!D9</f>
        <v>0.053452248382484885</v>
      </c>
      <c r="E6" s="2">
        <f>'02_Normalizada'!E6*'01_Decision'!E9</f>
        <v>0.037139067635410375</v>
      </c>
    </row>
    <row r="7">
      <c r="A7" t="str">
        <v>Proveedor C</v>
      </c>
      <c r="B7" s="2">
        <f>'02_Normalizada'!B7*'01_Decision'!B9</f>
        <v>0.26696952498876586</v>
      </c>
      <c r="C7" s="2">
        <f>'02_Normalizada'!C7*'01_Decision'!C9</f>
        <v>0.1938487028267893</v>
      </c>
      <c r="D7" s="2">
        <f>'02_Normalizada'!D7*'01_Decision'!D9</f>
        <v>0.16035674514745465</v>
      </c>
      <c r="E7" s="2">
        <f>'02_Normalizada'!E7*'01_Decision'!E9</f>
        <v>0.07427813527082075</v>
      </c>
    </row>
    <row r="9">
      <c r="A9" t="str">
        <v>A+ (ideal)</v>
      </c>
      <c r="B9" s="2">
        <f>MIN(B5:B7)</f>
        <v>0.19069251784911845</v>
      </c>
      <c r="C9" s="2">
        <f>MAX(C5:C7)</f>
        <v>0.1938487028267893</v>
      </c>
      <c r="D9" s="2">
        <f>MAX(D5:D7)</f>
        <v>0.16035674514745465</v>
      </c>
      <c r="E9" s="2">
        <f>MIN(E5:E7)</f>
        <v>0.037139067635410375</v>
      </c>
    </row>
    <row r="10">
      <c r="A10" t="str">
        <v>A− (anti ideal)</v>
      </c>
      <c r="B10" s="2">
        <f>MAX(B5:B7)</f>
        <v>0.26696952498876586</v>
      </c>
      <c r="C10" s="2">
        <f>MIN(C5:C7)</f>
        <v>0.150771213309725</v>
      </c>
      <c r="D10" s="2">
        <f>MIN(D5:D7)</f>
        <v>0.053452248382484885</v>
      </c>
      <c r="E10" s="2">
        <f>MAX(E5:E7)</f>
        <v>0.07427813527082075</v>
      </c>
    </row>
    <row r="12">
      <c r="A12" t="str">
        <v>C. Distancias y coeficiente de cercanía</v>
      </c>
    </row>
    <row r="13">
      <c r="A13" t="str">
        <v>Alternativa</v>
      </c>
      <c r="B13" t="str">
        <v>D+ (a la ideal)</v>
      </c>
      <c r="C13" t="str">
        <v>D− (a la anti ideal)</v>
      </c>
      <c r="D13" t="str">
        <v>Ci = D− / (D+ + D−)</v>
      </c>
    </row>
    <row r="14">
      <c r="A14" t="str">
        <v>Proveedor A</v>
      </c>
      <c r="B14" s="2">
        <f>SQRT(SUMXMY2(B5:E5,B9:E9))</f>
        <v>0.07155720385585511</v>
      </c>
      <c r="C14" s="2">
        <f>SQRT(SUMXMY2(B5:E5,B10:E10))</f>
        <v>0.07155720385585512</v>
      </c>
      <c r="D14" s="2">
        <f>C14/(B14+C14)</f>
        <v>0.5</v>
      </c>
    </row>
    <row r="15">
      <c r="A15" t="str">
        <v>Proveedor B</v>
      </c>
      <c r="B15" s="2">
        <f>SQRT(SUMXMY2(B6:E6,B9:E9))</f>
        <v>0.1152572840720456</v>
      </c>
      <c r="C15" s="2">
        <f>SQRT(SUMXMY2(B6:E6,B10:E10))</f>
        <v>0.08483803488418039</v>
      </c>
      <c r="D15" s="2">
        <f>C15/(B15+C15)</f>
        <v>0.4239881039033205</v>
      </c>
    </row>
    <row r="16">
      <c r="A16" t="str">
        <v>Proveedor C</v>
      </c>
      <c r="B16" s="2">
        <f>SQRT(SUMXMY2(B7:E7,B9:E9))</f>
        <v>0.08483803488418039</v>
      </c>
      <c r="C16" s="2">
        <f>SQRT(SUMXMY2(B7:E7,B10:E10))</f>
        <v>0.1152572840720456</v>
      </c>
      <c r="D16" s="2">
        <f>C16/(B16+C16)</f>
        <v>0.5760118960966796</v>
      </c>
    </row>
    <row r="18">
      <c r="A18" t="str">
        <v>SUMXMY2 calcula la suma de cuadrados de las diferencias; su raíz es la distancia euclidiana.</v>
      </c>
    </row>
  </sheetData>
  <hyperlinks>
    <hyperlink ref="A2" location="'Menu'!A1" tooltip="Ir al menú"/>
  </hyperlinks>
  <ignoredErrors>
    <ignoredError numberStoredAsText="1" sqref="A1:E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0.83203125" customWidth="1"/>
    <col min="2" max="2" width="34.83203125" customWidth="1"/>
    <col min="3" max="3" width="16.83203125" customWidth="1"/>
    <col min="4" max="4" width="16.83203125" customWidth="1"/>
    <col min="5" max="5" width="26.83203125" customWidth="1"/>
  </cols>
  <sheetData>
    <row r="1">
      <c r="A1" t="str">
        <v>Ranking final por coeficiente de cercanía</v>
      </c>
    </row>
    <row r="2">
      <c r="A2" t="str">
        <v>Volver al menú</v>
      </c>
    </row>
    <row r="4">
      <c r="A4" t="str">
        <v>Posición</v>
      </c>
      <c r="B4" t="str">
        <v>Alternativa</v>
      </c>
      <c r="C4" t="str">
        <v>D+</v>
      </c>
      <c r="D4" t="str">
        <v>D−</v>
      </c>
      <c r="E4" t="str">
        <v>Coeficiente de cercanía Ci</v>
      </c>
    </row>
    <row r="5">
      <c r="A5" s="1">
        <v>1</v>
      </c>
      <c r="B5" t="str">
        <v>Proveedor C</v>
      </c>
      <c r="C5" s="2">
        <v>0.08483803488418039</v>
      </c>
      <c r="D5" s="2">
        <v>0.1152572840720456</v>
      </c>
      <c r="E5" s="2">
        <v>0.5760118960966796</v>
      </c>
    </row>
    <row r="6">
      <c r="A6" s="1">
        <v>2</v>
      </c>
      <c r="B6" t="str">
        <v>Proveedor A</v>
      </c>
      <c r="C6" s="2">
        <v>0.07155720385585511</v>
      </c>
      <c r="D6" s="2">
        <v>0.07155720385585512</v>
      </c>
      <c r="E6" s="2">
        <v>0.5</v>
      </c>
    </row>
    <row r="7">
      <c r="A7" s="1">
        <v>3</v>
      </c>
      <c r="B7" t="str">
        <v>Proveedor B</v>
      </c>
      <c r="C7" s="2">
        <v>0.1152572840720456</v>
      </c>
      <c r="D7" s="2">
        <v>0.08483803488418039</v>
      </c>
      <c r="E7" s="2">
        <v>0.4239881039033205</v>
      </c>
    </row>
    <row r="9">
      <c r="A9" t="str">
        <v>La alternativa recomendada es la de mayor Ci. Ci está siempre entre 0 y 1.</v>
      </c>
    </row>
    <row r="10">
      <c r="A10" t="str">
        <v>Recomendada: Proveedor C.</v>
      </c>
    </row>
  </sheetData>
  <hyperlinks>
    <hyperlink ref="A2" location="'Menu'!A1" tooltip="Ir al menú"/>
  </hyperlinks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Menu</vt:lpstr>
      <vt:lpstr>01_Decision</vt:lpstr>
      <vt:lpstr>02_Normalizada</vt:lpstr>
      <vt:lpstr>03_Ponderada</vt:lpstr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Sergio Gómez Rueda</dc:creator>
  <dc:description>Este aplicativo fue desarrollado por Mario Sergio Gómez Rueda. Su uso es de carácter académico y cualquier otro uso se regirá por el derecho de la propiedad intelectual. Sugerencias o dudas: mgomezr1@gmail.com</dc:description>
  <dc:title>Éngista TOPSIS: resultados</dc:title>
</cp:coreProperties>
</file>